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Корниенко\Downloads\"/>
    </mc:Choice>
  </mc:AlternateContent>
  <xr:revisionPtr revIDLastSave="0" documentId="13_ncr:1_{9A33AE6D-793E-4549-AA35-9AB3DF1D390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Свод" sheetId="6" r:id="rId1"/>
    <sheet name="Пиломатериалы" sheetId="1" r:id="rId2"/>
    <sheet name="Кровля" sheetId="2" r:id="rId3"/>
    <sheet name="Защита древесины" sheetId="3" r:id="rId4"/>
    <sheet name="Метизы" sheetId="4" r:id="rId5"/>
    <sheet name="Примечания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2" i="4"/>
  <c r="C6" i="6"/>
  <c r="C5" i="6"/>
  <c r="C4" i="6"/>
  <c r="G2" i="2"/>
  <c r="G7" i="2"/>
  <c r="G4" i="2"/>
  <c r="G5" i="3"/>
  <c r="G3" i="3"/>
  <c r="G2" i="3"/>
  <c r="G3" i="2"/>
  <c r="G7" i="1"/>
  <c r="F7" i="1"/>
  <c r="H8" i="1"/>
  <c r="F8" i="1"/>
  <c r="G6" i="1"/>
  <c r="H6" i="1" s="1"/>
  <c r="G5" i="1"/>
  <c r="H5" i="1" s="1"/>
  <c r="G4" i="1"/>
  <c r="H4" i="1" s="1"/>
  <c r="G3" i="1"/>
  <c r="H3" i="1" s="1"/>
  <c r="H2" i="1"/>
  <c r="C7" i="6" l="1"/>
  <c r="C9" i="6" s="1"/>
  <c r="H7" i="1"/>
  <c r="H11" i="1" s="1"/>
</calcChain>
</file>

<file path=xl/sharedStrings.xml><?xml version="1.0" encoding="utf-8"?>
<sst xmlns="http://schemas.openxmlformats.org/spreadsheetml/2006/main" count="162" uniqueCount="110">
  <si>
    <t>№</t>
  </si>
  <si>
    <t>Наименование</t>
  </si>
  <si>
    <t>Сечение</t>
  </si>
  <si>
    <t>Ед. изм.</t>
  </si>
  <si>
    <t>Кол-во</t>
  </si>
  <si>
    <t>Объём, м³</t>
  </si>
  <si>
    <t>1.1</t>
  </si>
  <si>
    <t>Брус на обвязку и стойки</t>
  </si>
  <si>
    <t>100×100 мм</t>
  </si>
  <si>
    <t>пог. м</t>
  </si>
  <si>
    <t>1.2</t>
  </si>
  <si>
    <t>Лаги пола</t>
  </si>
  <si>
    <t>50×150 мм</t>
  </si>
  <si>
    <t>1.3</t>
  </si>
  <si>
    <t>Стропила</t>
  </si>
  <si>
    <t>1.4</t>
  </si>
  <si>
    <t>Обрешётка</t>
  </si>
  <si>
    <t>25×100 мм</t>
  </si>
  <si>
    <t>1.5</t>
  </si>
  <si>
    <t>Черновой пол</t>
  </si>
  <si>
    <t>м²</t>
  </si>
  <si>
    <t>1.6</t>
  </si>
  <si>
    <t>1.7</t>
  </si>
  <si>
    <t>Итого пиломатериалов</t>
  </si>
  <si>
    <t>При покупке стандартных шестиметровых досок: брус 100×100 — 6 шт., доска 50×150 — 7 шт., доска 25×100 — 6 шт., имитация бруса — 14 м², шпунт — 9 м².</t>
  </si>
  <si>
    <t>Примечание</t>
  </si>
  <si>
    <t>2.1</t>
  </si>
  <si>
    <t>Битумная черепица (гонты)</t>
  </si>
  <si>
    <t>м² / упак.</t>
  </si>
  <si>
    <t>21–22 м² / 7–8 упак.</t>
  </si>
  <si>
    <t>Запас 10–15% на подрезку</t>
  </si>
  <si>
    <t>2.2</t>
  </si>
  <si>
    <t>Подкладочный ковёр</t>
  </si>
  <si>
    <t>м² / рулон</t>
  </si>
  <si>
    <t>20 м² / 2 рулона</t>
  </si>
  <si>
    <t>Сплошной слой по скатам</t>
  </si>
  <si>
    <t>2.3</t>
  </si>
  <si>
    <t>Битумная мастика (фиксер)</t>
  </si>
  <si>
    <t>кг</t>
  </si>
  <si>
    <t>2,5–3,0</t>
  </si>
  <si>
    <t>Канистра 3 кг</t>
  </si>
  <si>
    <t>3.1</t>
  </si>
  <si>
    <t>Антисептик для дерева</t>
  </si>
  <si>
    <t>л</t>
  </si>
  <si>
    <t>Два слоя, с запасом на торцы</t>
  </si>
  <si>
    <t>3.2</t>
  </si>
  <si>
    <t>Лазурь для наружных работ</t>
  </si>
  <si>
    <t>15–18</t>
  </si>
  <si>
    <t>Два слоя по пиленой древесине</t>
  </si>
  <si>
    <t>Назначение</t>
  </si>
  <si>
    <t>Вид метиза</t>
  </si>
  <si>
    <t>4.1</t>
  </si>
  <si>
    <t>Крепление к фундаменту</t>
  </si>
  <si>
    <t>шт.</t>
  </si>
  <si>
    <t>4.2</t>
  </si>
  <si>
    <t>Сборка каркаса</t>
  </si>
  <si>
    <t>Усиленные уголки 90×90×65</t>
  </si>
  <si>
    <t>4.3</t>
  </si>
  <si>
    <t>4.4</t>
  </si>
  <si>
    <t>Болты M10×120 с гайками и шайбами</t>
  </si>
  <si>
    <t>4.5</t>
  </si>
  <si>
    <t>Крепление лаг пола</t>
  </si>
  <si>
    <t>4.6</t>
  </si>
  <si>
    <t>Саморезы 4,2×75</t>
  </si>
  <si>
    <t>4.7</t>
  </si>
  <si>
    <t>Чистовой пол</t>
  </si>
  <si>
    <t>4.8</t>
  </si>
  <si>
    <t>Обшивка стен</t>
  </si>
  <si>
    <t>4.9</t>
  </si>
  <si>
    <t>Стропильная система</t>
  </si>
  <si>
    <t>Стропильные уголки/пластины 90×90</t>
  </si>
  <si>
    <t>4.10</t>
  </si>
  <si>
    <t>Саморезы 5×80</t>
  </si>
  <si>
    <t>4.11</t>
  </si>
  <si>
    <t>4.12</t>
  </si>
  <si>
    <t>4.13</t>
  </si>
  <si>
    <t>Гвозди с широкой шляпкой 20–25 мм</t>
  </si>
  <si>
    <t>4.14</t>
  </si>
  <si>
    <t>Битумная черепица</t>
  </si>
  <si>
    <t>Ершёные гвозди 1,8–2,0×25–30 мм</t>
  </si>
  <si>
    <t>Важные примечания</t>
  </si>
  <si>
    <t xml:space="preserve">Точный расход битумной черепицы зависит от формы нарезки гонтов: у разных коллекций полезная площадь упаковки может быть 1,5 / 2 / 3 м². </t>
  </si>
  <si>
    <t>Цена</t>
  </si>
  <si>
    <t>Сумма</t>
  </si>
  <si>
    <t>Обшивка стен (планкен сосна АВ сухая)</t>
  </si>
  <si>
    <t>20×96х3000 мм</t>
  </si>
  <si>
    <t>50х150 мм</t>
  </si>
  <si>
    <t>3.3</t>
  </si>
  <si>
    <t>Валики, кисти, растворители</t>
  </si>
  <si>
    <t>Доставка</t>
  </si>
  <si>
    <t>Пиломатериалы</t>
  </si>
  <si>
    <t>Кровля</t>
  </si>
  <si>
    <t>Защита древесины</t>
  </si>
  <si>
    <t>Метизы</t>
  </si>
  <si>
    <t>Работа</t>
  </si>
  <si>
    <t>Расходники (валик, шпатель, лезкия, шнурка и пр.)</t>
  </si>
  <si>
    <t>Расходники (шлифкруги, диски, пр.)</t>
  </si>
  <si>
    <t>Итого:</t>
  </si>
  <si>
    <t>Анкерный болт M10×120</t>
  </si>
  <si>
    <t>Опоры/уголки для лаг 50×50</t>
  </si>
  <si>
    <t>Саморезы  4×50</t>
  </si>
  <si>
    <t xml:space="preserve">Саморезы 5×80 </t>
  </si>
  <si>
    <t>Гвозди 3,5×90 реечные</t>
  </si>
  <si>
    <t>Саморезы/гвозди 3,5×70 реечные</t>
  </si>
  <si>
    <t>Расходники (биты, пр.)</t>
  </si>
  <si>
    <t>строительства беседки 3х3х2,2/2,7</t>
  </si>
  <si>
    <t xml:space="preserve">                 Сводная смета</t>
  </si>
  <si>
    <t>Для улицы использован горячеоцинкованный крепёж  — обычные чёрные саморезы быстро заржавеют.</t>
  </si>
  <si>
    <t>Антисептик наносится на все стороны досок и бруса, особое внимание — торцам и местам запилов.</t>
  </si>
  <si>
    <t>Фундамент (столбчатый или свайный), а также водосточная система в смету не включены. Вариант используемого фундамента определяется после осмотра места установки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</si>
</sst>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8"/>
      <name val="Calibri"/>
      <family val="2"/>
      <charset val="1"/>
    </font>
    <font>
      <b/>
      <sz val="11"/>
      <color theme="1"/>
      <name val="Calibri"/>
      <family val="2"/>
      <charset val="204"/>
    </font>
    <font>
      <sz val="11"/>
      <name val="Arial"/>
      <family val="2"/>
      <charset val="204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2" fontId="3" fillId="0" borderId="1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3" fontId="5" fillId="0" borderId="0" xfId="0" applyNumberFormat="1" applyFont="1"/>
    <xf numFmtId="0" fontId="7" fillId="0" borderId="0" xfId="0" applyFont="1"/>
    <xf numFmtId="0" fontId="8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3" fontId="0" fillId="0" borderId="3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2F66-4AE2-4C26-9107-BD3FC312BEB5}">
  <dimension ref="A1:C9"/>
  <sheetViews>
    <sheetView tabSelected="1" workbookViewId="0">
      <selection activeCell="F8" sqref="F8"/>
    </sheetView>
  </sheetViews>
  <sheetFormatPr defaultRowHeight="14.4" x14ac:dyDescent="0.3"/>
  <cols>
    <col min="1" max="1" width="5.44140625" customWidth="1"/>
    <col min="2" max="2" width="23.5546875" customWidth="1"/>
    <col min="3" max="3" width="12.44140625" customWidth="1"/>
  </cols>
  <sheetData>
    <row r="1" spans="1:3" ht="18" x14ac:dyDescent="0.35">
      <c r="A1" s="20" t="s">
        <v>106</v>
      </c>
      <c r="B1" s="21"/>
    </row>
    <row r="2" spans="1:3" ht="18" x14ac:dyDescent="0.35">
      <c r="A2" s="20" t="s">
        <v>105</v>
      </c>
      <c r="B2" s="21"/>
    </row>
    <row r="3" spans="1:3" ht="27.6" x14ac:dyDescent="0.3">
      <c r="A3" s="22" t="s">
        <v>0</v>
      </c>
      <c r="B3" s="22" t="s">
        <v>1</v>
      </c>
      <c r="C3" s="10" t="s">
        <v>83</v>
      </c>
    </row>
    <row r="4" spans="1:3" x14ac:dyDescent="0.3">
      <c r="A4" s="23">
        <v>1</v>
      </c>
      <c r="B4" s="23" t="s">
        <v>90</v>
      </c>
      <c r="C4" s="24">
        <f>Пиломатериалы!H11</f>
        <v>68982.200000000012</v>
      </c>
    </row>
    <row r="5" spans="1:3" x14ac:dyDescent="0.3">
      <c r="A5" s="23">
        <v>2</v>
      </c>
      <c r="B5" s="23" t="s">
        <v>91</v>
      </c>
      <c r="C5" s="24">
        <f>Кровля!G7</f>
        <v>26360</v>
      </c>
    </row>
    <row r="6" spans="1:3" x14ac:dyDescent="0.3">
      <c r="A6" s="23">
        <v>4</v>
      </c>
      <c r="B6" s="23" t="s">
        <v>92</v>
      </c>
      <c r="C6" s="24">
        <f>'Защита древесины'!G5</f>
        <v>22895.200000000001</v>
      </c>
    </row>
    <row r="7" spans="1:3" x14ac:dyDescent="0.3">
      <c r="A7" s="23">
        <v>5</v>
      </c>
      <c r="B7" s="23" t="s">
        <v>93</v>
      </c>
      <c r="C7" s="24">
        <f>Метизы!G17</f>
        <v>15330.3</v>
      </c>
    </row>
    <row r="8" spans="1:3" x14ac:dyDescent="0.3">
      <c r="A8" s="23">
        <v>6</v>
      </c>
      <c r="B8" s="23" t="s">
        <v>94</v>
      </c>
      <c r="C8" s="24">
        <v>100000</v>
      </c>
    </row>
    <row r="9" spans="1:3" x14ac:dyDescent="0.3">
      <c r="A9" s="12" t="s">
        <v>97</v>
      </c>
      <c r="C9" s="19">
        <f>SUM(C4:C8)</f>
        <v>233567.7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zoomScaleNormal="100" workbookViewId="0">
      <pane ySplit="1" topLeftCell="A2" activePane="bottomLeft" state="frozen"/>
      <selection pane="bottomLeft" sqref="A1:B1"/>
    </sheetView>
  </sheetViews>
  <sheetFormatPr defaultColWidth="8.6640625" defaultRowHeight="14.4" x14ac:dyDescent="0.3"/>
  <cols>
    <col min="1" max="1" width="7" customWidth="1"/>
    <col min="2" max="2" width="38" customWidth="1"/>
    <col min="3" max="3" width="14" customWidth="1"/>
    <col min="4" max="5" width="10" customWidth="1"/>
    <col min="6" max="6" width="12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82</v>
      </c>
      <c r="H1" s="10" t="s">
        <v>83</v>
      </c>
    </row>
    <row r="2" spans="1:8" x14ac:dyDescent="0.3">
      <c r="A2" s="3" t="s">
        <v>6</v>
      </c>
      <c r="B2" s="4" t="s">
        <v>7</v>
      </c>
      <c r="C2" s="4" t="s">
        <v>8</v>
      </c>
      <c r="D2" s="3" t="s">
        <v>9</v>
      </c>
      <c r="E2" s="3">
        <v>36</v>
      </c>
      <c r="F2" s="5">
        <v>0.36</v>
      </c>
      <c r="G2">
        <v>32000</v>
      </c>
      <c r="H2">
        <f>F2*G2</f>
        <v>11520</v>
      </c>
    </row>
    <row r="3" spans="1:8" x14ac:dyDescent="0.3">
      <c r="A3" s="3" t="s">
        <v>10</v>
      </c>
      <c r="B3" s="4" t="s">
        <v>11</v>
      </c>
      <c r="C3" s="4" t="s">
        <v>12</v>
      </c>
      <c r="D3" s="3" t="s">
        <v>9</v>
      </c>
      <c r="E3" s="3">
        <v>21</v>
      </c>
      <c r="F3" s="5">
        <v>0.16</v>
      </c>
      <c r="G3">
        <f>22*1485</f>
        <v>32670</v>
      </c>
      <c r="H3">
        <f t="shared" ref="H3:H5" si="0">F3*G3</f>
        <v>5227.2</v>
      </c>
    </row>
    <row r="4" spans="1:8" x14ac:dyDescent="0.3">
      <c r="A4" s="3" t="s">
        <v>13</v>
      </c>
      <c r="B4" s="4" t="s">
        <v>14</v>
      </c>
      <c r="C4" s="4" t="s">
        <v>12</v>
      </c>
      <c r="D4" s="3" t="s">
        <v>9</v>
      </c>
      <c r="E4" s="3">
        <v>20</v>
      </c>
      <c r="F4" s="5">
        <v>0.15</v>
      </c>
      <c r="G4">
        <f>22*1485</f>
        <v>32670</v>
      </c>
      <c r="H4">
        <f t="shared" ref="H4" si="1">F4*G4</f>
        <v>4900.5</v>
      </c>
    </row>
    <row r="5" spans="1:8" x14ac:dyDescent="0.3">
      <c r="A5" s="3" t="s">
        <v>15</v>
      </c>
      <c r="B5" s="4" t="s">
        <v>16</v>
      </c>
      <c r="C5" s="4" t="s">
        <v>17</v>
      </c>
      <c r="D5" s="3" t="s">
        <v>9</v>
      </c>
      <c r="E5" s="3">
        <v>24</v>
      </c>
      <c r="F5" s="5">
        <v>0.06</v>
      </c>
      <c r="G5">
        <f>495*67</f>
        <v>33165</v>
      </c>
      <c r="H5">
        <f t="shared" si="0"/>
        <v>1989.8999999999999</v>
      </c>
    </row>
    <row r="6" spans="1:8" x14ac:dyDescent="0.3">
      <c r="A6" s="3" t="s">
        <v>18</v>
      </c>
      <c r="B6" s="4" t="s">
        <v>19</v>
      </c>
      <c r="C6" s="4" t="s">
        <v>17</v>
      </c>
      <c r="D6" s="3" t="s">
        <v>20</v>
      </c>
      <c r="E6" s="3">
        <v>9</v>
      </c>
      <c r="F6" s="5">
        <v>0.14000000000000001</v>
      </c>
      <c r="G6">
        <f>495*67</f>
        <v>33165</v>
      </c>
      <c r="H6">
        <f t="shared" ref="H6:H7" si="2">F6*G6</f>
        <v>4643.1000000000004</v>
      </c>
    </row>
    <row r="7" spans="1:8" x14ac:dyDescent="0.3">
      <c r="A7" s="3" t="s">
        <v>21</v>
      </c>
      <c r="B7" s="4" t="s">
        <v>65</v>
      </c>
      <c r="C7" s="4" t="s">
        <v>86</v>
      </c>
      <c r="D7" s="3" t="s">
        <v>20</v>
      </c>
      <c r="E7" s="3">
        <v>9</v>
      </c>
      <c r="F7" s="5">
        <f>10*0.05*0.15*6</f>
        <v>0.44999999999999996</v>
      </c>
      <c r="G7">
        <f>22*1485</f>
        <v>32670</v>
      </c>
      <c r="H7">
        <f t="shared" si="2"/>
        <v>14701.499999999998</v>
      </c>
    </row>
    <row r="8" spans="1:8" ht="27.6" x14ac:dyDescent="0.3">
      <c r="A8" s="3" t="s">
        <v>22</v>
      </c>
      <c r="B8" s="4" t="s">
        <v>84</v>
      </c>
      <c r="C8" s="4" t="s">
        <v>85</v>
      </c>
      <c r="D8" s="3" t="s">
        <v>53</v>
      </c>
      <c r="E8" s="3">
        <v>45</v>
      </c>
      <c r="F8" s="5">
        <f>E8*0.02*0.096*3</f>
        <v>0.25919999999999999</v>
      </c>
      <c r="G8">
        <v>400</v>
      </c>
      <c r="H8">
        <f>G8*E8</f>
        <v>18000</v>
      </c>
    </row>
    <row r="9" spans="1:8" x14ac:dyDescent="0.3">
      <c r="A9" s="3"/>
      <c r="B9" s="13" t="s">
        <v>96</v>
      </c>
      <c r="C9" s="4"/>
      <c r="D9" s="3"/>
      <c r="E9" s="3"/>
      <c r="F9" s="5"/>
      <c r="H9">
        <v>3000</v>
      </c>
    </row>
    <row r="10" spans="1:8" x14ac:dyDescent="0.3">
      <c r="A10" s="3"/>
      <c r="B10" s="13" t="s">
        <v>89</v>
      </c>
      <c r="C10" s="4"/>
      <c r="D10" s="3"/>
      <c r="E10" s="3"/>
      <c r="F10" s="5"/>
      <c r="H10">
        <v>5000</v>
      </c>
    </row>
    <row r="11" spans="1:8" x14ac:dyDescent="0.3">
      <c r="A11" s="6"/>
      <c r="B11" s="6" t="s">
        <v>23</v>
      </c>
      <c r="C11" s="6"/>
      <c r="D11" s="6"/>
      <c r="E11" s="6"/>
      <c r="F11" s="7"/>
      <c r="H11" s="12">
        <f>SUM(H2:H10)</f>
        <v>68982.200000000012</v>
      </c>
    </row>
    <row r="13" spans="1:8" ht="48" customHeight="1" x14ac:dyDescent="0.3">
      <c r="B13" s="11" t="s">
        <v>24</v>
      </c>
      <c r="C13" s="11"/>
      <c r="D13" s="11"/>
      <c r="E13" s="11"/>
      <c r="F13" s="11"/>
    </row>
  </sheetData>
  <mergeCells count="1"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Normal="100" workbookViewId="0">
      <pane ySplit="1" topLeftCell="A2" activePane="bottomLeft" state="frozen"/>
      <selection pane="bottomLeft" activeCell="G1" sqref="G1"/>
    </sheetView>
  </sheetViews>
  <sheetFormatPr defaultColWidth="8.6640625" defaultRowHeight="14.4" x14ac:dyDescent="0.3"/>
  <cols>
    <col min="1" max="1" width="7" customWidth="1"/>
    <col min="2" max="2" width="32" customWidth="1"/>
    <col min="3" max="3" width="14" customWidth="1"/>
    <col min="4" max="4" width="22" customWidth="1"/>
    <col min="5" max="5" width="30" customWidth="1"/>
  </cols>
  <sheetData>
    <row r="1" spans="1:7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25</v>
      </c>
      <c r="F1" s="10" t="s">
        <v>82</v>
      </c>
      <c r="G1" s="10" t="s">
        <v>83</v>
      </c>
    </row>
    <row r="2" spans="1:7" x14ac:dyDescent="0.3">
      <c r="A2" s="3" t="s">
        <v>26</v>
      </c>
      <c r="B2" s="4" t="s">
        <v>27</v>
      </c>
      <c r="C2" s="4" t="s">
        <v>28</v>
      </c>
      <c r="D2" s="3" t="s">
        <v>29</v>
      </c>
      <c r="E2" s="3" t="s">
        <v>30</v>
      </c>
      <c r="F2">
        <v>680</v>
      </c>
      <c r="G2">
        <f>22*F2</f>
        <v>14960</v>
      </c>
    </row>
    <row r="3" spans="1:7" x14ac:dyDescent="0.3">
      <c r="A3" s="3" t="s">
        <v>31</v>
      </c>
      <c r="B3" s="4" t="s">
        <v>32</v>
      </c>
      <c r="C3" s="4" t="s">
        <v>33</v>
      </c>
      <c r="D3" s="3" t="s">
        <v>34</v>
      </c>
      <c r="E3" s="3" t="s">
        <v>35</v>
      </c>
      <c r="F3">
        <v>2400</v>
      </c>
      <c r="G3">
        <f>F3*2</f>
        <v>4800</v>
      </c>
    </row>
    <row r="4" spans="1:7" x14ac:dyDescent="0.3">
      <c r="A4" s="3" t="s">
        <v>36</v>
      </c>
      <c r="B4" s="4" t="s">
        <v>37</v>
      </c>
      <c r="C4" s="4" t="s">
        <v>38</v>
      </c>
      <c r="D4" s="3" t="s">
        <v>39</v>
      </c>
      <c r="E4" s="3" t="s">
        <v>40</v>
      </c>
      <c r="F4">
        <v>2600</v>
      </c>
      <c r="G4">
        <f>F4*1</f>
        <v>2600</v>
      </c>
    </row>
    <row r="5" spans="1:7" ht="27.6" x14ac:dyDescent="0.3">
      <c r="A5" s="14"/>
      <c r="B5" s="16" t="s">
        <v>95</v>
      </c>
      <c r="C5" s="15"/>
      <c r="D5" s="14"/>
      <c r="E5" s="14"/>
      <c r="G5">
        <v>2000</v>
      </c>
    </row>
    <row r="6" spans="1:7" x14ac:dyDescent="0.3">
      <c r="A6" s="14"/>
      <c r="B6" s="16" t="s">
        <v>89</v>
      </c>
      <c r="C6" s="15"/>
      <c r="D6" s="14"/>
      <c r="E6" s="14"/>
      <c r="G6">
        <v>2000</v>
      </c>
    </row>
    <row r="7" spans="1:7" x14ac:dyDescent="0.3">
      <c r="G7" s="12">
        <f>SUM(G2:G6)</f>
        <v>26360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Normal="100" workbookViewId="0">
      <pane ySplit="1" topLeftCell="A2" activePane="bottomLeft" state="frozen"/>
      <selection pane="bottomLeft" activeCell="F1" sqref="F1:G1"/>
    </sheetView>
  </sheetViews>
  <sheetFormatPr defaultColWidth="8.6640625" defaultRowHeight="14.4" x14ac:dyDescent="0.3"/>
  <cols>
    <col min="1" max="1" width="7" customWidth="1"/>
    <col min="2" max="2" width="32" customWidth="1"/>
    <col min="3" max="3" width="10" customWidth="1"/>
    <col min="4" max="4" width="12" customWidth="1"/>
    <col min="5" max="5" width="36" customWidth="1"/>
  </cols>
  <sheetData>
    <row r="1" spans="1:7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25</v>
      </c>
      <c r="F1" s="10" t="s">
        <v>82</v>
      </c>
      <c r="G1" s="10" t="s">
        <v>83</v>
      </c>
    </row>
    <row r="2" spans="1:7" x14ac:dyDescent="0.3">
      <c r="A2" s="3" t="s">
        <v>41</v>
      </c>
      <c r="B2" s="4" t="s">
        <v>42</v>
      </c>
      <c r="C2" s="4" t="s">
        <v>43</v>
      </c>
      <c r="D2" s="3">
        <v>22</v>
      </c>
      <c r="E2" s="3" t="s">
        <v>44</v>
      </c>
      <c r="F2">
        <v>131.6</v>
      </c>
      <c r="G2">
        <f>F2*D2</f>
        <v>2895.2</v>
      </c>
    </row>
    <row r="3" spans="1:7" x14ac:dyDescent="0.3">
      <c r="A3" s="3" t="s">
        <v>45</v>
      </c>
      <c r="B3" s="4" t="s">
        <v>46</v>
      </c>
      <c r="C3" s="4" t="s">
        <v>43</v>
      </c>
      <c r="D3" s="3" t="s">
        <v>47</v>
      </c>
      <c r="E3" s="3" t="s">
        <v>48</v>
      </c>
      <c r="F3">
        <v>1000</v>
      </c>
      <c r="G3">
        <f>18*1000</f>
        <v>18000</v>
      </c>
    </row>
    <row r="4" spans="1:7" x14ac:dyDescent="0.3">
      <c r="A4" s="3" t="s">
        <v>87</v>
      </c>
      <c r="B4" s="4" t="s">
        <v>88</v>
      </c>
      <c r="C4" s="4"/>
      <c r="D4" s="3"/>
      <c r="E4" s="3"/>
      <c r="G4">
        <v>2000</v>
      </c>
    </row>
    <row r="5" spans="1:7" x14ac:dyDescent="0.3">
      <c r="A5" s="3"/>
      <c r="G5" s="12">
        <f>SUM(G2:G4)</f>
        <v>22895.200000000001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zoomScaleNormal="100" workbookViewId="0">
      <pane ySplit="1" topLeftCell="A2" activePane="bottomLeft" state="frozen"/>
      <selection pane="bottomLeft" activeCell="G18" sqref="G18"/>
    </sheetView>
  </sheetViews>
  <sheetFormatPr defaultColWidth="8.6640625" defaultRowHeight="14.4" x14ac:dyDescent="0.3"/>
  <cols>
    <col min="1" max="1" width="7" customWidth="1"/>
    <col min="2" max="2" width="26" customWidth="1"/>
    <col min="3" max="3" width="40" customWidth="1"/>
    <col min="4" max="4" width="10" customWidth="1"/>
    <col min="5" max="5" width="22" customWidth="1"/>
  </cols>
  <sheetData>
    <row r="1" spans="1:7" x14ac:dyDescent="0.3">
      <c r="A1" s="2" t="s">
        <v>0</v>
      </c>
      <c r="B1" s="2" t="s">
        <v>49</v>
      </c>
      <c r="C1" s="2" t="s">
        <v>50</v>
      </c>
      <c r="D1" s="2" t="s">
        <v>3</v>
      </c>
      <c r="E1" s="2" t="s">
        <v>4</v>
      </c>
      <c r="F1" s="10" t="s">
        <v>82</v>
      </c>
      <c r="G1" s="10" t="s">
        <v>83</v>
      </c>
    </row>
    <row r="2" spans="1:7" x14ac:dyDescent="0.3">
      <c r="A2" s="3" t="s">
        <v>51</v>
      </c>
      <c r="B2" s="4" t="s">
        <v>52</v>
      </c>
      <c r="C2" s="13" t="s">
        <v>98</v>
      </c>
      <c r="D2" s="3" t="s">
        <v>53</v>
      </c>
      <c r="E2" s="3">
        <v>10</v>
      </c>
      <c r="F2">
        <v>49</v>
      </c>
      <c r="G2">
        <f>E2*F2</f>
        <v>490</v>
      </c>
    </row>
    <row r="3" spans="1:7" x14ac:dyDescent="0.3">
      <c r="A3" s="3" t="s">
        <v>54</v>
      </c>
      <c r="B3" s="4" t="s">
        <v>55</v>
      </c>
      <c r="C3" s="13" t="s">
        <v>56</v>
      </c>
      <c r="D3" s="3" t="s">
        <v>53</v>
      </c>
      <c r="E3" s="3">
        <v>36</v>
      </c>
      <c r="F3">
        <v>40.799999999999997</v>
      </c>
      <c r="G3">
        <f t="shared" ref="G3:G15" si="0">E3*F3</f>
        <v>1468.8</v>
      </c>
    </row>
    <row r="4" spans="1:7" x14ac:dyDescent="0.3">
      <c r="A4" s="3" t="s">
        <v>57</v>
      </c>
      <c r="B4" s="4" t="s">
        <v>55</v>
      </c>
      <c r="C4" s="13" t="s">
        <v>101</v>
      </c>
      <c r="D4" s="3" t="s">
        <v>53</v>
      </c>
      <c r="E4" s="3">
        <v>300</v>
      </c>
      <c r="F4">
        <v>4.5</v>
      </c>
      <c r="G4">
        <f t="shared" si="0"/>
        <v>1350</v>
      </c>
    </row>
    <row r="5" spans="1:7" x14ac:dyDescent="0.3">
      <c r="A5" s="3" t="s">
        <v>58</v>
      </c>
      <c r="B5" s="4" t="s">
        <v>55</v>
      </c>
      <c r="C5" s="13" t="s">
        <v>59</v>
      </c>
      <c r="D5" s="3" t="s">
        <v>53</v>
      </c>
      <c r="E5" s="3">
        <v>16</v>
      </c>
      <c r="F5">
        <v>185</v>
      </c>
      <c r="G5">
        <f t="shared" si="0"/>
        <v>2960</v>
      </c>
    </row>
    <row r="6" spans="1:7" x14ac:dyDescent="0.3">
      <c r="A6" s="3" t="s">
        <v>60</v>
      </c>
      <c r="B6" s="4" t="s">
        <v>61</v>
      </c>
      <c r="C6" s="13" t="s">
        <v>99</v>
      </c>
      <c r="D6" s="3" t="s">
        <v>53</v>
      </c>
      <c r="E6" s="3">
        <v>16</v>
      </c>
      <c r="F6">
        <v>24</v>
      </c>
      <c r="G6">
        <f t="shared" si="0"/>
        <v>384</v>
      </c>
    </row>
    <row r="7" spans="1:7" x14ac:dyDescent="0.3">
      <c r="A7" s="3" t="s">
        <v>62</v>
      </c>
      <c r="B7" s="4" t="s">
        <v>19</v>
      </c>
      <c r="C7" s="13" t="s">
        <v>63</v>
      </c>
      <c r="D7" s="3" t="s">
        <v>53</v>
      </c>
      <c r="E7" s="3">
        <v>550</v>
      </c>
      <c r="F7">
        <v>2.4</v>
      </c>
      <c r="G7">
        <f t="shared" si="0"/>
        <v>1320</v>
      </c>
    </row>
    <row r="8" spans="1:7" x14ac:dyDescent="0.3">
      <c r="A8" s="3" t="s">
        <v>64</v>
      </c>
      <c r="B8" s="4" t="s">
        <v>65</v>
      </c>
      <c r="C8" s="13" t="s">
        <v>63</v>
      </c>
      <c r="D8" s="3" t="s">
        <v>53</v>
      </c>
      <c r="E8" s="3">
        <v>450</v>
      </c>
      <c r="F8">
        <v>2.4</v>
      </c>
      <c r="G8">
        <f t="shared" si="0"/>
        <v>1080</v>
      </c>
    </row>
    <row r="9" spans="1:7" x14ac:dyDescent="0.3">
      <c r="A9" s="3" t="s">
        <v>66</v>
      </c>
      <c r="B9" s="4" t="s">
        <v>67</v>
      </c>
      <c r="C9" s="13" t="s">
        <v>100</v>
      </c>
      <c r="D9" s="3" t="s">
        <v>53</v>
      </c>
      <c r="E9" s="3">
        <v>450</v>
      </c>
      <c r="F9">
        <v>2</v>
      </c>
      <c r="G9">
        <f t="shared" si="0"/>
        <v>900</v>
      </c>
    </row>
    <row r="10" spans="1:7" x14ac:dyDescent="0.3">
      <c r="A10" s="3" t="s">
        <v>68</v>
      </c>
      <c r="B10" s="4" t="s">
        <v>69</v>
      </c>
      <c r="C10" s="13" t="s">
        <v>70</v>
      </c>
      <c r="D10" s="3" t="s">
        <v>53</v>
      </c>
      <c r="E10" s="3">
        <v>20</v>
      </c>
      <c r="F10">
        <v>28</v>
      </c>
      <c r="G10">
        <f t="shared" si="0"/>
        <v>560</v>
      </c>
    </row>
    <row r="11" spans="1:7" x14ac:dyDescent="0.3">
      <c r="A11" s="3" t="s">
        <v>71</v>
      </c>
      <c r="B11" s="4" t="s">
        <v>69</v>
      </c>
      <c r="C11" s="4" t="s">
        <v>72</v>
      </c>
      <c r="D11" s="3" t="s">
        <v>53</v>
      </c>
      <c r="E11" s="3">
        <v>150</v>
      </c>
      <c r="F11">
        <v>4.5</v>
      </c>
      <c r="G11">
        <f t="shared" si="0"/>
        <v>675</v>
      </c>
    </row>
    <row r="12" spans="1:7" x14ac:dyDescent="0.3">
      <c r="A12" s="3" t="s">
        <v>73</v>
      </c>
      <c r="B12" s="4" t="s">
        <v>69</v>
      </c>
      <c r="C12" s="13" t="s">
        <v>102</v>
      </c>
      <c r="D12" s="17" t="s">
        <v>53</v>
      </c>
      <c r="E12" s="3">
        <v>1000</v>
      </c>
      <c r="F12">
        <v>2</v>
      </c>
      <c r="G12">
        <f t="shared" si="0"/>
        <v>2000</v>
      </c>
    </row>
    <row r="13" spans="1:7" x14ac:dyDescent="0.3">
      <c r="A13" s="3" t="s">
        <v>74</v>
      </c>
      <c r="B13" s="4" t="s">
        <v>16</v>
      </c>
      <c r="C13" s="13" t="s">
        <v>103</v>
      </c>
      <c r="D13" s="3" t="s">
        <v>53</v>
      </c>
      <c r="E13" s="3">
        <v>350</v>
      </c>
      <c r="F13">
        <v>1.8</v>
      </c>
      <c r="G13">
        <f t="shared" si="0"/>
        <v>630</v>
      </c>
    </row>
    <row r="14" spans="1:7" x14ac:dyDescent="0.3">
      <c r="A14" s="3" t="s">
        <v>75</v>
      </c>
      <c r="B14" s="4" t="s">
        <v>32</v>
      </c>
      <c r="C14" s="4" t="s">
        <v>76</v>
      </c>
      <c r="D14" s="3" t="s">
        <v>53</v>
      </c>
      <c r="E14" s="3">
        <v>350</v>
      </c>
      <c r="F14">
        <v>0.75</v>
      </c>
      <c r="G14">
        <f t="shared" si="0"/>
        <v>262.5</v>
      </c>
    </row>
    <row r="15" spans="1:7" x14ac:dyDescent="0.3">
      <c r="A15" s="3" t="s">
        <v>77</v>
      </c>
      <c r="B15" s="4" t="s">
        <v>78</v>
      </c>
      <c r="C15" s="4" t="s">
        <v>79</v>
      </c>
      <c r="D15" s="3" t="s">
        <v>53</v>
      </c>
      <c r="E15" s="3">
        <v>1000</v>
      </c>
      <c r="F15">
        <v>0.75</v>
      </c>
      <c r="G15">
        <f t="shared" si="0"/>
        <v>750</v>
      </c>
    </row>
    <row r="16" spans="1:7" x14ac:dyDescent="0.3">
      <c r="A16" s="14"/>
      <c r="B16" s="16" t="s">
        <v>104</v>
      </c>
      <c r="C16" s="15"/>
      <c r="D16" s="14"/>
      <c r="E16" s="14"/>
      <c r="G16">
        <v>500</v>
      </c>
    </row>
    <row r="17" spans="2:7" x14ac:dyDescent="0.3">
      <c r="G17" s="12">
        <f>SUM(G2:G16)</f>
        <v>15330.3</v>
      </c>
    </row>
    <row r="18" spans="2:7" x14ac:dyDescent="0.3">
      <c r="B18" s="8"/>
    </row>
    <row r="19" spans="2:7" x14ac:dyDescent="0.3">
      <c r="B19" s="9"/>
    </row>
    <row r="20" spans="2:7" x14ac:dyDescent="0.3">
      <c r="B20" s="9"/>
    </row>
    <row r="21" spans="2:7" x14ac:dyDescent="0.3">
      <c r="B21" s="9"/>
    </row>
    <row r="22" spans="2:7" x14ac:dyDescent="0.3">
      <c r="B22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zoomScaleNormal="100" workbookViewId="0">
      <selection activeCell="B3" sqref="B3"/>
    </sheetView>
  </sheetViews>
  <sheetFormatPr defaultColWidth="8.6640625" defaultRowHeight="14.4" x14ac:dyDescent="0.3"/>
  <cols>
    <col min="1" max="1" width="5" customWidth="1"/>
    <col min="2" max="2" width="100" customWidth="1"/>
  </cols>
  <sheetData>
    <row r="1" spans="1:2" x14ac:dyDescent="0.3">
      <c r="B1" s="8" t="s">
        <v>80</v>
      </c>
    </row>
    <row r="2" spans="1:2" ht="27.6" x14ac:dyDescent="0.3">
      <c r="A2" s="9">
        <v>1</v>
      </c>
      <c r="B2" s="18" t="s">
        <v>109</v>
      </c>
    </row>
    <row r="3" spans="1:2" ht="27.6" x14ac:dyDescent="0.3">
      <c r="A3" s="9">
        <v>2</v>
      </c>
      <c r="B3" s="18" t="s">
        <v>107</v>
      </c>
    </row>
    <row r="4" spans="1:2" ht="27.6" x14ac:dyDescent="0.3">
      <c r="A4" s="9">
        <v>3</v>
      </c>
      <c r="B4" s="1" t="s">
        <v>81</v>
      </c>
    </row>
    <row r="5" spans="1:2" x14ac:dyDescent="0.3">
      <c r="A5" s="9">
        <v>4</v>
      </c>
      <c r="B5" s="18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Свод</vt:lpstr>
      <vt:lpstr>Пиломатериалы</vt:lpstr>
      <vt:lpstr>Кровля</vt:lpstr>
      <vt:lpstr>Защита древесины</vt:lpstr>
      <vt:lpstr>Метизы</vt:lpstr>
      <vt:lpstr>Примечания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Корниенко</cp:lastModifiedBy>
  <cp:revision>0</cp:revision>
  <dcterms:created xsi:type="dcterms:W3CDTF">2026-10-30T08:37:26Z</dcterms:created>
  <dcterms:modified xsi:type="dcterms:W3CDTF">2026-10-30T09:49:51Z</dcterms:modified>
  <dc:language>en-US</dc:language>
</cp:coreProperties>
</file>